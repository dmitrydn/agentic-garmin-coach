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лан питания" sheetId="1" state="visible" r:id="rId1"/>
    <sheet xmlns:r="http://schemas.openxmlformats.org/officeDocument/2006/relationships" name="Продукты (справочник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9C0006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center" vertical="center" wrapText="1"/>
    </xf>
    <xf numFmtId="1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top" wrapText="1"/>
    </xf>
    <xf numFmtId="164" fontId="7" fillId="5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general" vertical="top" wrapText="1"/>
    </xf>
    <xf numFmtId="1" fontId="8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center" vertical="center" wrapText="1"/>
    </xf>
    <xf numFmtId="1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top" wrapText="1"/>
    </xf>
    <xf numFmtId="164" fontId="7" fillId="5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general" vertical="top" wrapText="1"/>
    </xf>
    <xf numFmtId="1" fontId="8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25" min="1" max="1"/>
    <col width="26" customWidth="1" style="25" min="2" max="2"/>
    <col width="13" customWidth="1" style="25" min="3" max="3"/>
    <col width="7" customWidth="1" style="25" min="4" max="4"/>
    <col width="26" customWidth="1" style="25" min="5" max="5"/>
    <col width="9" customWidth="1" style="25" min="6" max="6"/>
    <col width="8" customWidth="1" style="25" min="7" max="7"/>
    <col width="16" customWidth="1" style="25" min="8" max="8"/>
    <col width="9" customWidth="1" style="25" min="9" max="9"/>
    <col width="8" customWidth="1" style="25" min="10" max="10"/>
    <col width="46" customWidth="1" style="25" min="11" max="11"/>
  </cols>
  <sheetData>
    <row r="1" ht="17.25" customHeight="1" s="26">
      <c r="A1" s="27" t="inlineStr">
        <is>
          <t>План питания и электролитов — UTMB Gauja Trail 90 км · 01.08.2026</t>
        </is>
      </c>
    </row>
    <row r="2" ht="15" customHeight="1" s="26">
      <c r="A2" s="28" t="inlineStr">
        <is>
          <t>Цель: углеводы 65 г/ч (потолок 80 к июлю после gut-тренинга) · натрий ≥400–500 мг/ч · расчётный финиш ~15–16 ч · дистанция 90.6 км</t>
        </is>
      </c>
    </row>
    <row r="3" ht="30" customHeight="1" s="26">
      <c r="A3" s="29" t="inlineStr">
        <is>
          <t>Часть</t>
        </is>
      </c>
      <c r="B3" s="29" t="inlineStr">
        <is>
          <t>Этап / Перегон (км)</t>
        </is>
      </c>
      <c r="C3" s="29" t="inlineStr">
        <is>
          <t>Время
(часы гонки)</t>
        </is>
      </c>
      <c r="D3" s="29" t="inlineStr">
        <is>
          <t>Длит.
(ч)</t>
        </is>
      </c>
      <c r="E3" s="29" t="inlineStr">
        <is>
          <t>Продукты (углеводы)</t>
        </is>
      </c>
      <c r="F3" s="29" t="inlineStr">
        <is>
          <t>Углеводы
(г)</t>
        </is>
      </c>
      <c r="G3" s="29" t="inlineStr">
        <is>
          <t>Углеводы
/ч</t>
        </is>
      </c>
      <c r="H3" s="29" t="inlineStr">
        <is>
          <t>Электролиты (шт)</t>
        </is>
      </c>
      <c r="I3" s="29" t="inlineStr">
        <is>
          <t>Натрий
(мг)</t>
        </is>
      </c>
      <c r="J3" s="29" t="inlineStr">
        <is>
          <t>Натрий
/ч</t>
        </is>
      </c>
      <c r="K3" s="29" t="inlineStr">
        <is>
          <t>Тактика и тайминг</t>
        </is>
      </c>
    </row>
    <row r="4" ht="73.5" customHeight="1" s="26">
      <c r="A4" s="30" t="inlineStr">
        <is>
          <t>ЧАСТЬ 1</t>
        </is>
      </c>
      <c r="B4" s="31" t="inlineStr">
        <is>
          <t>Старт ➔ Laurenci (15.1 км)</t>
        </is>
      </c>
      <c r="C4" s="30" t="inlineStr">
        <is>
          <t>0:00 – 2:00</t>
        </is>
      </c>
      <c r="D4" s="32" t="n">
        <v>2</v>
      </c>
      <c r="E4" s="31" t="inlineStr">
        <is>
          <t>Beta Fuel Drink ×1 (80)
Beta Fuel Gel ×2 (80)</t>
        </is>
      </c>
      <c r="F4" s="33">
        <f>80+40+40</f>
        <v/>
      </c>
      <c r="G4" s="33">
        <f>IF(D4=0,"—",F4/D4)</f>
        <v/>
      </c>
      <c r="H4" s="31" t="inlineStr">
        <is>
          <t>Nduranz Zero ×2</t>
        </is>
      </c>
      <c r="I4" s="33">
        <f>2*300 + (10+30)</f>
        <v/>
      </c>
      <c r="J4" s="33">
        <f>IF(D4=0,"—",I4/D4)</f>
        <v/>
      </c>
      <c r="K4" s="31" t="inlineStr">
        <is>
          <t>Стартовать спокойно. Beta Fuel порошок в правую флягу, Zero-вода в левую. Пить мелкими глотками — 500 мл/ч. Гель на 1:30. ПРАВКА 10:15: +1 гель (перегон длиннее плана).</t>
        </is>
      </c>
    </row>
    <row r="5" ht="73.5" customHeight="1" s="26">
      <c r="A5" s="30" t="inlineStr">
        <is>
          <t>ЧАСТЬ 1</t>
        </is>
      </c>
      <c r="B5" s="31" t="inlineStr">
        <is>
          <t>Laurenci ➔ CP1 Sigulda (6.7 км)</t>
        </is>
      </c>
      <c r="C5" s="30" t="inlineStr">
        <is>
          <t>2:00 – 3:00</t>
        </is>
      </c>
      <c r="D5" s="32" t="n">
        <v>1</v>
      </c>
      <c r="E5" s="31" t="inlineStr">
        <is>
          <t>Beta Fuel Gel ×2 (80)
GO Isotonic Gel ×1 (22)</t>
        </is>
      </c>
      <c r="F5" s="33">
        <f>40+40+22</f>
        <v/>
      </c>
      <c r="G5" s="33">
        <f>IF(D5=0,"—",F5/D5)</f>
        <v/>
      </c>
      <c r="H5" s="31" t="inlineStr">
        <is>
          <t>Nduranz Zero ×1</t>
        </is>
      </c>
      <c r="I5" s="33">
        <f>1*300 + (30+10)</f>
        <v/>
      </c>
      <c r="J5" s="33">
        <f>IF(D5=0,"—",I5/D5)</f>
        <v/>
      </c>
      <c r="K5" s="31" t="inlineStr">
        <is>
          <t>Ущелье/подъёмы. Гель на спуске к Сигулде. На CP1 долить обе фляги, бросить 1 солевую капсулу в Zero-флягу. ПРАВКА 10:15: +1 гель.</t>
        </is>
      </c>
    </row>
    <row r="6" ht="73.5" customHeight="1" s="26">
      <c r="A6" s="30" t="inlineStr">
        <is>
          <t>ЧАСТЬ 1</t>
        </is>
      </c>
      <c r="B6" s="31" t="inlineStr">
        <is>
          <t>CP1 Sigulda ➔ CP2 Ratnieki (16.4 км)</t>
        </is>
      </c>
      <c r="C6" s="30" t="inlineStr">
        <is>
          <t>3:00 – 5:30</t>
        </is>
      </c>
      <c r="D6" s="32" t="n">
        <v>2.5</v>
      </c>
      <c r="E6" s="31" t="inlineStr">
        <is>
          <t>Beta Fuel Drink ×1 (80)
Beta Fuel Gel ×1 (40)
GO Energy Bar ×1 (26)
GO Isotonic Gel ×1 (22)</t>
        </is>
      </c>
      <c r="F6" s="33">
        <f>80+40+26+22</f>
        <v/>
      </c>
      <c r="G6" s="33">
        <f>IF(D6=0,"—",F6/D6)</f>
        <v/>
      </c>
      <c r="H6" s="31" t="inlineStr">
        <is>
          <t>Nduranz Zero ×2
Salt Cap ×1</t>
        </is>
      </c>
      <c r="I6" s="33">
        <f>2*300 + 1*200 + (10+30+50+10)</f>
        <v/>
      </c>
      <c r="J6" s="33">
        <f>IF(D6=0,"—",I6/D6)</f>
        <v/>
      </c>
      <c r="K6" s="31" t="inlineStr">
        <is>
          <t>Плоско — грузи ЖКТ твёрдым: батончик в начале 4-го часа. Полдень теплеет — начни солевые капсулы (1 шт).</t>
        </is>
      </c>
    </row>
    <row r="7" ht="73.5" customHeight="1" s="26">
      <c r="A7" s="30" t="inlineStr">
        <is>
          <t>ЧАСТЬ 1</t>
        </is>
      </c>
      <c r="B7" s="31" t="inlineStr">
        <is>
          <t>CP2 Ratnieki ➔ CP3 Līgatne (15.4 км)</t>
        </is>
      </c>
      <c r="C7" s="30" t="inlineStr">
        <is>
          <t>5:30 – 8:00</t>
        </is>
      </c>
      <c r="D7" s="32" t="n">
        <v>2.5</v>
      </c>
      <c r="E7" s="31" t="inlineStr">
        <is>
          <t>Beta Fuel Drink ×1 (80)
Beta Fuel Gel ×2 (80)
+ Кофеин-капс 100 мг ×1</t>
        </is>
      </c>
      <c r="F7" s="33">
        <f>80+40+40</f>
        <v/>
      </c>
      <c r="G7" s="33">
        <f>IF(D7=0,"—",F7/D7)</f>
        <v/>
      </c>
      <c r="H7" s="31" t="inlineStr">
        <is>
          <t>Nduranz Zero ×2
Salt Cap ×2</t>
        </is>
      </c>
      <c r="I7" s="33">
        <f>2*300 + 2*200 + (10+30+30)</f>
        <v/>
      </c>
      <c r="J7" s="33">
        <f>IF(D7=0,"—",I7/D7)</f>
        <v/>
      </c>
      <c r="K7" s="31" t="inlineStr">
        <is>
          <t>Самая жара. Порошок замешать на CP2. Кофеин-капсула 100 мг на 7-м часу перед горками к Лигатне. 1 солевая капсула/час.</t>
        </is>
      </c>
    </row>
    <row r="8" ht="73.5" customHeight="1" s="26">
      <c r="A8" s="34" t="inlineStr">
        <is>
          <t>ДРОП-БЭГ</t>
        </is>
      </c>
      <c r="B8" s="35" t="inlineStr">
        <is>
          <t>CP3 Līgatne — ЭКВАТОР (53.8 км)</t>
        </is>
      </c>
      <c r="C8" s="34" t="inlineStr">
        <is>
          <t>~8:00</t>
        </is>
      </c>
      <c r="D8" s="36" t="n">
        <v>0</v>
      </c>
      <c r="E8" s="35" t="inlineStr">
        <is>
          <t>Бульон / солёное (ПП)
+ забор питания на Часть 2</t>
        </is>
      </c>
      <c r="F8" s="37" t="inlineStr">
        <is>
          <t>0</t>
        </is>
      </c>
      <c r="G8" s="37">
        <f>IF(D8=0,"—",F8/D8)</f>
        <v/>
      </c>
      <c r="H8" s="35" t="inlineStr">
        <is>
          <t>Соль из бульона</t>
        </is>
      </c>
      <c r="I8" s="37" t="inlineStr">
        <is>
          <t>0</t>
        </is>
      </c>
      <c r="J8" s="37">
        <f>IF(D8=0,"—",I8/D8)</f>
        <v/>
      </c>
      <c r="K8" s="35" t="inlineStr">
        <is>
          <t>ПЕРЕЗАГРУЗКА: чашка бульона (≈500–800 мг натрия, не учтён в плане!), очистить жилет, забрать питание Части 2. Стоп ≤10 мин.</t>
        </is>
      </c>
    </row>
    <row r="9" ht="73.5" customHeight="1" s="26">
      <c r="A9" s="38" t="inlineStr">
        <is>
          <t>ЧАСТЬ 2</t>
        </is>
      </c>
      <c r="B9" s="39" t="inlineStr">
        <is>
          <t>CP3 Līgatne ➔ CP4 Zvartes iezis (16.0 км)</t>
        </is>
      </c>
      <c r="C9" s="38" t="inlineStr">
        <is>
          <t>8:00 – 11:00</t>
        </is>
      </c>
      <c r="D9" s="40" t="n">
        <v>3</v>
      </c>
      <c r="E9" s="39" t="inlineStr">
        <is>
          <t>Beta Fuel Drink ×1 (80)
Beta Fuel Gel ×2 (80)
+ Кофеин-капс 100 мг ×1</t>
        </is>
      </c>
      <c r="F9" s="41">
        <f>80+40+40</f>
        <v/>
      </c>
      <c r="G9" s="41">
        <f>IF(D9=0,"—",F9/D9)</f>
        <v/>
      </c>
      <c r="H9" s="39" t="inlineStr">
        <is>
          <t>Nduranz Zero ×3
Salt Cap ×2</t>
        </is>
      </c>
      <c r="I9" s="41">
        <f>3*300 + 2*200 + (10+60+30)</f>
        <v/>
      </c>
      <c r="J9" s="41">
        <f>IF(D9=0,"—",I9/D9)</f>
        <v/>
      </c>
      <c r="K9" s="39" t="inlineStr">
        <is>
          <t>Порошок на CP3. Твёрдую еду убираем. Кофеин-капсула 100 мг на 10-м часу. Держать 500–600 мл/ч жидкости — не забывать пить! ПРАВКА 10:15: −1 гель → перенесён в 1-ю половину.</t>
        </is>
      </c>
    </row>
    <row r="10" ht="73.5" customHeight="1" s="26">
      <c r="A10" s="38" t="inlineStr">
        <is>
          <t>ЧАСТЬ 2</t>
        </is>
      </c>
      <c r="B10" s="39" t="inlineStr">
        <is>
          <t>CP4 Zvartes iezis ➔ CP5 Ozolkalns (11.3 км)</t>
        </is>
      </c>
      <c r="C10" s="38" t="inlineStr">
        <is>
          <t>11:00 – 13:15</t>
        </is>
      </c>
      <c r="D10" s="40" t="n">
        <v>2.25</v>
      </c>
      <c r="E10" s="39" t="inlineStr">
        <is>
          <t>Beta Fuel Drink ×1 (80)
GO Isotonic Gel ×1 (22)</t>
        </is>
      </c>
      <c r="F10" s="41">
        <f>80+22</f>
        <v/>
      </c>
      <c r="G10" s="41">
        <f>IF(D10=0,"—",F10/D10)</f>
        <v/>
      </c>
      <c r="H10" s="39" t="inlineStr">
        <is>
          <t>Nduranz Zero ×2
Salt Cap ×1</t>
        </is>
      </c>
      <c r="I10" s="41">
        <f>2*300 + 1*200 + (10+30+10)</f>
        <v/>
      </c>
      <c r="J10" s="41">
        <f>IF(D10=0,"—",I10/D10)</f>
        <v/>
      </c>
      <c r="K10" s="39" t="inlineStr">
        <is>
          <t>Вечер, жара спадает. На CP5 (Ozolkalns) финальная дозаправка воды перед 'пилой'. ПРАВКА 10:15: −1 гель → перенесён в 1-ю половину.</t>
        </is>
      </c>
    </row>
    <row r="11" ht="73.5" customHeight="1" s="26">
      <c r="A11" s="38" t="inlineStr">
        <is>
          <t>ЧАСТЬ 2</t>
        </is>
      </c>
      <c r="B11" s="39" t="inlineStr">
        <is>
          <t>CP5 Ozolkalns ➔ Финиш (9.3 км)</t>
        </is>
      </c>
      <c r="C11" s="38" t="inlineStr">
        <is>
          <t>13:15 – 15:15</t>
        </is>
      </c>
      <c r="D11" s="40" t="n">
        <v>2</v>
      </c>
      <c r="E11" s="39" t="inlineStr">
        <is>
          <t>Beta Fuel Gel ×2 (80)
GO Isotonic Gel ×2 (44)
+ Кофеин-капс 100–200 мг</t>
        </is>
      </c>
      <c r="F11" s="41">
        <f>40+40+22+22</f>
        <v/>
      </c>
      <c r="G11" s="41">
        <f>IF(D11=0,"—",F11/D11)</f>
        <v/>
      </c>
      <c r="H11" s="39" t="inlineStr">
        <is>
          <t>Nduranz Zero ×2</t>
        </is>
      </c>
      <c r="I11" s="41">
        <f>2*300 + (30+30+10+10)</f>
        <v/>
      </c>
      <c r="J11" s="41">
        <f>IF(D11=0,"—",I11/D11)</f>
        <v/>
      </c>
      <c r="K11" s="39" t="inlineStr">
        <is>
          <t>Финишная 'пила' — жевать нельзя, только гели каждые 25–30 мин. Кофеин 100–200 мг (1–2 капс) на 14-м часу перед подъёмами.</t>
        </is>
      </c>
    </row>
    <row r="12" ht="23.25" customHeight="1" s="26">
      <c r="A12" s="42" t="inlineStr">
        <is>
          <t>ИТОГО</t>
        </is>
      </c>
      <c r="B12" s="42" t="inlineStr">
        <is>
          <t>ВСЯ ГОНКА (90.6 км)</t>
        </is>
      </c>
      <c r="C12" s="42" t="inlineStr">
        <is>
          <t>~15.25 ч движения</t>
        </is>
      </c>
      <c r="D12" s="43">
        <f>SUM(D4:D11)</f>
        <v/>
      </c>
      <c r="E12" s="44" t="inlineStr">
        <is>
          <t>Backbone — SiS Beta Fuel (1:0.8 гл:фр)</t>
        </is>
      </c>
      <c r="F12" s="45">
        <f>SUM(F4:F11)</f>
        <v/>
      </c>
      <c r="G12" s="45">
        <f>F12/D12</f>
        <v/>
      </c>
      <c r="H12" s="42" t="inlineStr">
        <is>
          <t>Zero 14 таб · Salt Caps 6 · Кофеин 3–4×100 мг</t>
        </is>
      </c>
      <c r="I12" s="45">
        <f>SUM(I4:I11)</f>
        <v/>
      </c>
      <c r="J12" s="45">
        <f>I12/D12</f>
        <v/>
      </c>
      <c r="K12" s="44" t="inlineStr">
        <is>
          <t>Остаток углеводов добираешь кокой/фруктами на пунктах; натрий — бульоном на Лигатне.</t>
        </is>
      </c>
    </row>
    <row r="14" ht="15" customHeight="1" s="26">
      <c r="A14" s="46" t="inlineStr">
        <is>
          <t>⚠ ДЕФИЦИТ НАТРИЯ / ЗАКУПКА</t>
        </is>
      </c>
    </row>
    <row r="15" ht="30" customHeight="1" s="26">
      <c r="A15" s="47" t="inlineStr">
        <is>
          <t>• Твой план тренировок задаёт натрий 500–700 мг/ч. Этот план даёт ~370–400 мг/ч (+ бульон на Лигатне ≈ +500–800 мг) — уже в 8–9× лучше исходного плана (~40 мг/ч), но у нижней границы.</t>
        </is>
      </c>
    </row>
    <row r="16" ht="30" customHeight="1" s="26">
      <c r="A16" s="47" t="inlineStr">
        <is>
          <t>• В наличии сейчас: Nduranz Zero — 6 таб; Salt Caps — есть (90 капс/банка). Для этого плана нужно 14 таб Zero → ДОКУПИТЬ ≈ 8 таб Zero (или тубу 20 шт).</t>
        </is>
      </c>
    </row>
    <row r="17" ht="30" customHeight="1" s="26">
      <c r="A17" s="47" t="inlineStr">
        <is>
          <t>• Salt Caps: этикетка советует ≤6 капс/сутки — план держится в этом лимите (6 капс в самые жаркие часы CP1→CP5).</t>
        </is>
      </c>
    </row>
    <row r="18" ht="30" customHeight="1" s="26">
      <c r="A18" s="47" t="inlineStr">
        <is>
          <t>• Чтобы дотянуть до 500 мг/ч в жару: добавь щепотку поваренной соли во флягу Zero или +1 солевую капсулу на 5–9 часах. Бульон на Лигатне — обязателен.</t>
        </is>
      </c>
    </row>
    <row r="19" ht="30" customHeight="1" s="26">
      <c r="A19" s="47" t="inlineStr">
        <is>
          <t>• Углеводы: сейчас ты отработал 40–60 г/ч. План на гонку = 65 г/ч. На длинных в июле (Сигулда) поднимай 70→80 г/ч; если ЖКТ терпит — добавишь по 1 гелю в Части 2.</t>
        </is>
      </c>
    </row>
    <row r="20" ht="30" customHeight="1" s="26">
      <c r="A20" s="47" t="inlineStr">
        <is>
          <t>• Транспортёры: GO Isotonic — только мальтодекстрин (глюкоза, потолок ~60 г/ч). Backbone держи на Beta Fuel (глюкоза+фруктоза 1:0.8) — минимум изотоника при высоком темпе приёма.</t>
        </is>
      </c>
    </row>
    <row r="21" s="26">
      <c r="A21" s="48" t="inlineStr">
        <is>
          <t>★ ПРАВКА ПОД РЕАЛЬНЫЙ ТЕМП 10:15 (2026-07-14)</t>
        </is>
      </c>
    </row>
    <row r="22" s="26">
      <c r="A22" s="49" t="inlineStr">
        <is>
          <t>• Раскладка была расфасована под слишком быстрые сплиты. При 10:15 гонка ≈ 15.5 ч, перегоны 1-й половины длиннее плана → 1-я половина недобирала (~55 г/ч). Перенесено 2 Beta Fuel геля из Части 2 в Часть 1 (Старт→Сигулда). Итог: 1-я половина 64 г/ч, 2-я 61 г/ч, всего 976 г без изменений. НЕСИ +2 геля на старте, забери их из дроп-бэга Лигатне.</t>
        </is>
      </c>
    </row>
    <row r="23" s="26">
      <c r="A23" s="49" t="inlineStr">
        <is>
          <t>• ЖИДКОСТЬ: база 2 фляги + бутылка 1 л = 2.0 л (в бутылку только вода/Zero, НЕ замес). На жаркой тройке Сигулда→Zvartes наполняй пустую 4-ю флягу 500 мл (=2.5 л): доливай на Сигулде·Ратниеки·Лигатне, сливай после Звартеса. Худший перегон — Sigulda→Ratnieki (16 км без воды, ~2.0 л). Лей на голову.</t>
        </is>
      </c>
    </row>
  </sheetData>
  <mergeCells count="12">
    <mergeCell ref="A22:K22"/>
    <mergeCell ref="A18:K18"/>
    <mergeCell ref="A20:K20"/>
    <mergeCell ref="A21:K21"/>
    <mergeCell ref="A23:K23"/>
    <mergeCell ref="A15:K15"/>
    <mergeCell ref="A2:K2"/>
    <mergeCell ref="A16:K16"/>
    <mergeCell ref="A19:K19"/>
    <mergeCell ref="A14:K14"/>
    <mergeCell ref="A1:K1"/>
    <mergeCell ref="A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25" min="1" max="1"/>
    <col width="12" customWidth="1" style="25" min="2" max="3"/>
    <col width="11" customWidth="1" style="25" min="4" max="4"/>
    <col width="42" customWidth="1" style="25" min="5" max="5"/>
  </cols>
  <sheetData>
    <row r="1" ht="23.25" customHeight="1" s="26">
      <c r="A1" s="29" t="inlineStr">
        <is>
          <t>Продукт</t>
        </is>
      </c>
      <c r="B1" s="29" t="inlineStr">
        <is>
          <t>Углеводы (г)</t>
        </is>
      </c>
      <c r="C1" s="29" t="inlineStr">
        <is>
          <t>Натрий (мг)</t>
        </is>
      </c>
      <c r="D1" s="29" t="inlineStr">
        <is>
          <t>Кофеин (мг)</t>
        </is>
      </c>
      <c r="E1" s="29" t="inlineStr">
        <is>
          <t>Примечание / источник</t>
        </is>
      </c>
    </row>
    <row r="2" ht="23.25" customHeight="1" s="26">
      <c r="A2" s="50" t="inlineStr">
        <is>
          <t>SiS Beta Fuel Drink (80 г порошок)</t>
        </is>
      </c>
      <c r="B2" s="51" t="n">
        <v>80</v>
      </c>
      <c r="C2" s="51" t="n">
        <v>10</v>
      </c>
      <c r="D2" s="51" t="n">
        <v>0</v>
      </c>
      <c r="E2" s="50" t="inlineStr">
        <is>
          <t>1:0.8 глюкоза:фруктоза. SiS советует добавлять соль/Hydro для натрия.</t>
        </is>
      </c>
    </row>
    <row r="3" ht="15" customHeight="1" s="26">
      <c r="A3" s="50" t="inlineStr">
        <is>
          <t>SiS Beta Fuel Gel</t>
        </is>
      </c>
      <c r="B3" s="51" t="n">
        <v>40</v>
      </c>
      <c r="C3" s="51" t="n">
        <v>30</v>
      </c>
      <c r="D3" s="51" t="n">
        <v>0</v>
      </c>
      <c r="E3" s="50" t="inlineStr">
        <is>
          <t>1:0.8 гл:фр. Натрий 30 мг/гель.</t>
        </is>
      </c>
    </row>
    <row r="4" ht="15" customHeight="1" s="26">
      <c r="A4" s="50" t="inlineStr">
        <is>
          <t>Кофеин-капсула (Scientiffic Nutrition)</t>
        </is>
      </c>
      <c r="B4" s="51" t="n">
        <v>0</v>
      </c>
      <c r="C4" s="51" t="n">
        <v>0</v>
      </c>
      <c r="D4" s="51" t="n">
        <v>100</v>
      </c>
      <c r="E4" s="50" t="inlineStr">
        <is>
          <t>Кофеин отдельно от углеводов — точная доза. Тайминг ~7 / 10 / 14 ч. Backbone-гели остаются обычными Beta Fuel.</t>
        </is>
      </c>
    </row>
    <row r="5" ht="15" customHeight="1" s="26">
      <c r="A5" s="50" t="inlineStr">
        <is>
          <t>SiS GO Isotonic Gel</t>
        </is>
      </c>
      <c r="B5" s="51" t="n">
        <v>22</v>
      </c>
      <c r="C5" s="51" t="n">
        <v>10</v>
      </c>
      <c r="D5" s="51" t="n">
        <v>0</v>
      </c>
      <c r="E5" s="50" t="inlineStr">
        <is>
          <t>Только мальтодекстрин (глюкоза). Натрий 10 мг.</t>
        </is>
      </c>
    </row>
    <row r="6" ht="15" customHeight="1" s="26">
      <c r="A6" s="50" t="inlineStr">
        <is>
          <t>SiS GO Energy Bar</t>
        </is>
      </c>
      <c r="B6" s="51" t="n">
        <v>26</v>
      </c>
      <c r="C6" s="51" t="n">
        <v>50</v>
      </c>
      <c r="D6" s="51" t="n">
        <v>0</v>
      </c>
      <c r="E6" s="50" t="inlineStr">
        <is>
          <t>Твёрдая пища. Натрий ориентировочно.</t>
        </is>
      </c>
    </row>
    <row r="7" ht="15" customHeight="1" s="26">
      <c r="A7" s="50" t="inlineStr">
        <is>
          <t>Nduranz Zero (1 таб / 500 мл)</t>
        </is>
      </c>
      <c r="B7" s="51" t="n">
        <v>0</v>
      </c>
      <c r="C7" s="51" t="n">
        <v>300</v>
      </c>
      <c r="D7" s="51" t="n">
        <v>0</v>
      </c>
      <c r="E7" s="50" t="inlineStr">
        <is>
          <t>Электролиты, 0 углеводов. 300 мг натрия/таб.</t>
        </is>
      </c>
    </row>
    <row r="8" ht="15" customHeight="1" s="26">
      <c r="A8" s="50" t="inlineStr">
        <is>
          <t>4Endurance Salt Cap (1 капс)</t>
        </is>
      </c>
      <c r="B8" s="51" t="n">
        <v>0</v>
      </c>
      <c r="C8" s="51" t="n">
        <v>200</v>
      </c>
      <c r="D8" s="51" t="n">
        <v>0</v>
      </c>
      <c r="E8" s="50" t="inlineStr">
        <is>
          <t>400 мг натрия на 2 капс. Этикетка: ≤6 капс/сут.</t>
        </is>
      </c>
    </row>
    <row r="9" ht="15" customHeight="1" s="2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2026-07-02T06:01:49Z</dcterms:created>
  <dcterms:modified xmlns:dcterms="http://purl.org/dc/terms/" xmlns:xsi="http://www.w3.org/2001/XMLSchema-instance" xsi:type="dcterms:W3CDTF">2026-07-15T10:16:34Z</dcterms:modified>
  <cp:revision>0</cp:revision>
</cp:coreProperties>
</file>